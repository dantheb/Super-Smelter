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gar\OneDrive\Documents\Kelp Farm HC World\"/>
    </mc:Choice>
  </mc:AlternateContent>
  <xr:revisionPtr revIDLastSave="0" documentId="13_ncr:1_{1247BC30-67E2-403C-8EE6-4E0C2417519E}" xr6:coauthVersionLast="47" xr6:coauthVersionMax="47" xr10:uidLastSave="{00000000-0000-0000-0000-000000000000}"/>
  <bookViews>
    <workbookView xWindow="-120" yWindow="-120" windowWidth="29040" windowHeight="15840" activeTab="1" xr2:uid="{10021CC6-D9C0-4CEE-BC71-017883C450BE}"/>
  </bookViews>
  <sheets>
    <sheet name="Furnace Req's" sheetId="1" r:id="rId1"/>
    <sheet name="Kelp Farm Calc'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6" i="1" l="1"/>
  <c r="G16" i="1"/>
  <c r="H14" i="1"/>
  <c r="G14" i="1"/>
  <c r="H12" i="1"/>
  <c r="G12" i="1"/>
  <c r="G10" i="1"/>
  <c r="H10" i="1"/>
  <c r="G6" i="1"/>
  <c r="G8" i="1" l="1"/>
</calcChain>
</file>

<file path=xl/sharedStrings.xml><?xml version="1.0" encoding="utf-8"?>
<sst xmlns="http://schemas.openxmlformats.org/spreadsheetml/2006/main" count="42" uniqueCount="42">
  <si>
    <t>Azalea</t>
  </si>
  <si>
    <t>Any Wool</t>
  </si>
  <si>
    <t>Bamboo Mosaic Slab</t>
  </si>
  <si>
    <t>Overworld Wooden Slab</t>
  </si>
  <si>
    <t>Overworld Wooden Door</t>
  </si>
  <si>
    <t>Overworld Sign</t>
  </si>
  <si>
    <t>Hanging Sign</t>
  </si>
  <si>
    <t>Bamboo Mosaic</t>
  </si>
  <si>
    <t>Bamboo Mosaic Stairs</t>
  </si>
  <si>
    <t>Chiseled Bookshelf</t>
  </si>
  <si>
    <t>Overworld Planks</t>
  </si>
  <si>
    <t>Overworld Wooden Stairs</t>
  </si>
  <si>
    <t>Overworld Wooden Pressure Plate</t>
  </si>
  <si>
    <t>Overworld Wooden Trapdoor</t>
  </si>
  <si>
    <t>Overworld Fence Gate</t>
  </si>
  <si>
    <t>Overworld Wooden Fence</t>
  </si>
  <si>
    <t>Mangrove Roots</t>
  </si>
  <si>
    <t>Ladder</t>
  </si>
  <si>
    <t>Crafting Table</t>
  </si>
  <si>
    <t>Bookshelf</t>
  </si>
  <si>
    <t>Lectern</t>
  </si>
  <si>
    <t>Composter</t>
  </si>
  <si>
    <t>Chest</t>
  </si>
  <si>
    <t>Barrel</t>
  </si>
  <si>
    <t>Any Boat</t>
  </si>
  <si>
    <t>Any Boat with Chest</t>
  </si>
  <si>
    <t>Charcoal</t>
  </si>
  <si>
    <t>Blaze Rod</t>
  </si>
  <si>
    <t>Dried Kelp Block</t>
  </si>
  <si>
    <t>Burning Time</t>
  </si>
  <si>
    <t>Ops Per Fuel</t>
  </si>
  <si>
    <t>Ops Per Stack</t>
  </si>
  <si>
    <t>Kelp Farm</t>
  </si>
  <si>
    <t xml:space="preserve">Kelp </t>
  </si>
  <si>
    <t>Kelp Per Block</t>
  </si>
  <si>
    <t>To selt 9 Kelp you need:</t>
  </si>
  <si>
    <t>Remaining</t>
  </si>
  <si>
    <t>New Kelp Block Needed every:</t>
  </si>
  <si>
    <t>Kelp Needed before furnace tax</t>
  </si>
  <si>
    <t>Kelp Needed after Furnace tax</t>
  </si>
  <si>
    <t>Number of tick delays</t>
  </si>
  <si>
    <t>Kelp Neeeded post Tick adj.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</si>
</sst>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 applyAlignment="1"/>
    <xf numFmtId="0" fontId="1" fillId="2" borderId="0" xfId="1" applyFont="1" applyAlignment="1">
      <alignment horizontal="left" vertical="center"/>
    </xf>
    <xf numFmtId="0" fontId="1" fillId="2" borderId="0" xfId="1" applyFont="1" applyAlignment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2C0E-4C6B-43EB-AEAB-43E46AF7ED1D}">
  <dimension ref="A1:H32"/>
  <sheetViews>
    <sheetView workbookViewId="0">
      <selection activeCell="G16" sqref="G16"/>
    </sheetView>
  </sheetViews>
  <sheetFormatPr defaultRowHeight="15" x14ac:dyDescent="0.25"/>
  <cols>
    <col min="1" max="1" width="42.7109375" style="6" bestFit="1" customWidth="1"/>
    <col min="2" max="2" width="12.7109375" style="6" bestFit="1" customWidth="1"/>
    <col min="3" max="3" width="12.28515625" style="6" bestFit="1" customWidth="1"/>
    <col min="4" max="4" width="13.42578125" style="6" bestFit="1" customWidth="1"/>
    <col min="5" max="5" width="10.42578125" style="6" bestFit="1" customWidth="1"/>
    <col min="6" max="6" width="27.5703125" style="6" bestFit="1" customWidth="1"/>
    <col min="7" max="7" width="11.5703125" style="6" bestFit="1" customWidth="1"/>
    <col min="8" max="16384" width="9.140625" style="6"/>
  </cols>
  <sheetData>
    <row r="1" spans="1:8" x14ac:dyDescent="0.25">
      <c r="B1" s="1" t="s">
        <v>29</v>
      </c>
      <c r="C1" s="1" t="s">
        <v>30</v>
      </c>
      <c r="D1" s="1" t="s">
        <v>31</v>
      </c>
      <c r="E1" s="1"/>
      <c r="G1" s="6">
        <v>1</v>
      </c>
      <c r="H1" s="6">
        <v>16</v>
      </c>
    </row>
    <row r="2" spans="1:8" x14ac:dyDescent="0.25">
      <c r="A2" s="2" t="s">
        <v>0</v>
      </c>
      <c r="B2" s="4">
        <v>5</v>
      </c>
      <c r="C2" s="4">
        <v>0.5</v>
      </c>
      <c r="D2" s="4">
        <v>32</v>
      </c>
      <c r="E2" s="4"/>
      <c r="F2" s="1" t="s">
        <v>32</v>
      </c>
    </row>
    <row r="3" spans="1:8" x14ac:dyDescent="0.25">
      <c r="A3" s="2" t="s">
        <v>1</v>
      </c>
      <c r="B3" s="4">
        <v>5</v>
      </c>
      <c r="C3" s="4">
        <v>0.5</v>
      </c>
      <c r="D3" s="4">
        <v>32</v>
      </c>
      <c r="E3" s="4"/>
      <c r="F3" s="3" t="s">
        <v>33</v>
      </c>
      <c r="G3" s="4"/>
    </row>
    <row r="4" spans="1:8" x14ac:dyDescent="0.25">
      <c r="A4" s="2" t="s">
        <v>2</v>
      </c>
      <c r="B4" s="4">
        <v>7.5</v>
      </c>
      <c r="C4" s="4">
        <v>0.75</v>
      </c>
      <c r="D4" s="4">
        <v>48</v>
      </c>
      <c r="E4" s="4"/>
      <c r="F4" s="4" t="s">
        <v>34</v>
      </c>
      <c r="G4" s="4">
        <v>9</v>
      </c>
    </row>
    <row r="5" spans="1:8" x14ac:dyDescent="0.25">
      <c r="A5" s="2" t="s">
        <v>3</v>
      </c>
      <c r="B5" s="4">
        <v>7.5</v>
      </c>
      <c r="C5" s="4">
        <v>0.75</v>
      </c>
      <c r="D5" s="4">
        <v>48</v>
      </c>
      <c r="E5" s="4"/>
      <c r="F5" s="4" t="s">
        <v>40</v>
      </c>
      <c r="G5" s="4">
        <v>1</v>
      </c>
    </row>
    <row r="6" spans="1:8" x14ac:dyDescent="0.25">
      <c r="A6" s="2" t="s">
        <v>4</v>
      </c>
      <c r="B6" s="4">
        <v>10</v>
      </c>
      <c r="C6" s="4">
        <v>1</v>
      </c>
      <c r="D6" s="4">
        <v>64</v>
      </c>
      <c r="E6" s="4"/>
      <c r="F6" s="4" t="s">
        <v>35</v>
      </c>
      <c r="G6" s="4">
        <f>G4/C30</f>
        <v>0.45</v>
      </c>
    </row>
    <row r="7" spans="1:8" x14ac:dyDescent="0.25">
      <c r="A7" s="2" t="s">
        <v>5</v>
      </c>
      <c r="B7" s="4">
        <v>10</v>
      </c>
      <c r="C7" s="4">
        <v>1</v>
      </c>
      <c r="D7" s="4">
        <v>16</v>
      </c>
      <c r="E7" s="4"/>
      <c r="F7" s="4"/>
      <c r="G7" s="4"/>
    </row>
    <row r="8" spans="1:8" x14ac:dyDescent="0.25">
      <c r="A8" s="2" t="s">
        <v>6</v>
      </c>
      <c r="B8" s="4">
        <v>10</v>
      </c>
      <c r="C8" s="4">
        <v>1</v>
      </c>
      <c r="D8" s="4">
        <v>16</v>
      </c>
      <c r="E8" s="4"/>
      <c r="F8" s="4" t="s">
        <v>36</v>
      </c>
      <c r="G8" s="4">
        <f>(1-G6)</f>
        <v>0.55000000000000004</v>
      </c>
    </row>
    <row r="9" spans="1:8" x14ac:dyDescent="0.25">
      <c r="A9" s="2" t="s">
        <v>7</v>
      </c>
      <c r="B9" s="4">
        <v>15</v>
      </c>
      <c r="C9" s="4">
        <v>1.5</v>
      </c>
      <c r="D9" s="4">
        <v>96</v>
      </c>
      <c r="E9" s="4"/>
      <c r="F9" s="4"/>
      <c r="G9" s="4"/>
    </row>
    <row r="10" spans="1:8" x14ac:dyDescent="0.25">
      <c r="A10" s="2" t="s">
        <v>8</v>
      </c>
      <c r="B10" s="4">
        <v>15</v>
      </c>
      <c r="C10" s="4">
        <v>1.5</v>
      </c>
      <c r="D10" s="4">
        <v>96</v>
      </c>
      <c r="E10" s="4"/>
      <c r="F10" s="4" t="s">
        <v>37</v>
      </c>
      <c r="G10" s="4">
        <f>B30/G1</f>
        <v>200</v>
      </c>
      <c r="H10" s="6">
        <f>B30/H1</f>
        <v>12.5</v>
      </c>
    </row>
    <row r="11" spans="1:8" ht="16.5" x14ac:dyDescent="0.25">
      <c r="A11" s="2" t="s">
        <v>9</v>
      </c>
      <c r="B11" s="4">
        <v>15</v>
      </c>
      <c r="C11" s="4">
        <v>1.5</v>
      </c>
      <c r="D11" s="4">
        <v>96</v>
      </c>
      <c r="E11" s="4"/>
      <c r="F11" s="5"/>
      <c r="G11" s="4"/>
    </row>
    <row r="12" spans="1:8" x14ac:dyDescent="0.25">
      <c r="A12" s="2" t="s">
        <v>10</v>
      </c>
      <c r="B12" s="4">
        <v>15</v>
      </c>
      <c r="C12" s="4">
        <v>1.5</v>
      </c>
      <c r="D12" s="4">
        <v>96</v>
      </c>
      <c r="E12" s="4"/>
      <c r="F12" s="4" t="s">
        <v>38</v>
      </c>
      <c r="G12" s="4">
        <f>($G$4/G10)/$G$1</f>
        <v>4.4999999999999998E-2</v>
      </c>
      <c r="H12" s="4">
        <f>($G$4/H10)/$G$1</f>
        <v>0.72</v>
      </c>
    </row>
    <row r="13" spans="1:8" x14ac:dyDescent="0.25">
      <c r="A13" s="2" t="s">
        <v>11</v>
      </c>
      <c r="B13" s="4">
        <v>15</v>
      </c>
      <c r="C13" s="4">
        <v>1.5</v>
      </c>
      <c r="D13" s="4">
        <v>96</v>
      </c>
      <c r="E13" s="4"/>
      <c r="F13" s="4"/>
      <c r="G13" s="4"/>
    </row>
    <row r="14" spans="1:8" x14ac:dyDescent="0.25">
      <c r="A14" s="2" t="s">
        <v>12</v>
      </c>
      <c r="B14" s="4">
        <v>15</v>
      </c>
      <c r="C14" s="4">
        <v>1.5</v>
      </c>
      <c r="D14" s="4">
        <v>96</v>
      </c>
      <c r="E14" s="4"/>
      <c r="F14" s="4" t="s">
        <v>39</v>
      </c>
      <c r="G14" s="4">
        <f>G12/$G$8</f>
        <v>8.1818181818181804E-2</v>
      </c>
      <c r="H14" s="4">
        <f>H12/$G$8</f>
        <v>1.3090909090909089</v>
      </c>
    </row>
    <row r="15" spans="1:8" x14ac:dyDescent="0.25">
      <c r="A15" s="2" t="s">
        <v>13</v>
      </c>
      <c r="B15" s="4">
        <v>15</v>
      </c>
      <c r="C15" s="4">
        <v>1.5</v>
      </c>
      <c r="D15" s="4">
        <v>96</v>
      </c>
      <c r="E15" s="4"/>
      <c r="F15" s="4"/>
      <c r="G15" s="4"/>
    </row>
    <row r="16" spans="1:8" x14ac:dyDescent="0.25">
      <c r="A16" s="2" t="s">
        <v>14</v>
      </c>
      <c r="B16" s="4">
        <v>15</v>
      </c>
      <c r="C16" s="4">
        <v>1.5</v>
      </c>
      <c r="D16" s="4">
        <v>96</v>
      </c>
      <c r="E16" s="4"/>
      <c r="F16" s="4" t="s">
        <v>41</v>
      </c>
      <c r="G16" s="6">
        <f>G14+(G14*(($G$5)/20))</f>
        <v>8.5909090909090893E-2</v>
      </c>
      <c r="H16" s="6">
        <f>H14+(H14*(($G$5)/20))</f>
        <v>1.3745454545454543</v>
      </c>
    </row>
    <row r="17" spans="1:7" x14ac:dyDescent="0.25">
      <c r="A17" s="2" t="s">
        <v>15</v>
      </c>
      <c r="B17" s="4">
        <v>15</v>
      </c>
      <c r="C17" s="4">
        <v>1.5</v>
      </c>
      <c r="D17" s="4">
        <v>96</v>
      </c>
      <c r="E17" s="4"/>
      <c r="F17" s="4"/>
      <c r="G17" s="4"/>
    </row>
    <row r="18" spans="1:7" x14ac:dyDescent="0.25">
      <c r="A18" s="2" t="s">
        <v>16</v>
      </c>
      <c r="B18" s="4">
        <v>15</v>
      </c>
      <c r="C18" s="4">
        <v>1.5</v>
      </c>
      <c r="D18" s="4">
        <v>96</v>
      </c>
      <c r="E18" s="4"/>
      <c r="G18" s="4"/>
    </row>
    <row r="19" spans="1:7" x14ac:dyDescent="0.25">
      <c r="A19" s="2" t="s">
        <v>17</v>
      </c>
      <c r="B19" s="4">
        <v>15</v>
      </c>
      <c r="C19" s="4">
        <v>1.5</v>
      </c>
      <c r="D19" s="4">
        <v>96</v>
      </c>
      <c r="E19" s="4"/>
      <c r="G19" s="4"/>
    </row>
    <row r="20" spans="1:7" ht="16.5" x14ac:dyDescent="0.25">
      <c r="A20" s="2" t="s">
        <v>18</v>
      </c>
      <c r="B20" s="4">
        <v>15</v>
      </c>
      <c r="C20" s="4">
        <v>1.5</v>
      </c>
      <c r="D20" s="4">
        <v>96</v>
      </c>
      <c r="E20" s="4"/>
      <c r="F20" s="5"/>
      <c r="G20" s="4"/>
    </row>
    <row r="21" spans="1:7" ht="16.5" x14ac:dyDescent="0.25">
      <c r="A21" s="2" t="s">
        <v>19</v>
      </c>
      <c r="B21" s="4">
        <v>15</v>
      </c>
      <c r="C21" s="4">
        <v>1.5</v>
      </c>
      <c r="D21" s="4">
        <v>96</v>
      </c>
      <c r="E21" s="4"/>
      <c r="F21" s="5"/>
      <c r="G21" s="4"/>
    </row>
    <row r="22" spans="1:7" ht="16.5" x14ac:dyDescent="0.25">
      <c r="A22" s="2" t="s">
        <v>20</v>
      </c>
      <c r="B22" s="4">
        <v>15</v>
      </c>
      <c r="C22" s="4">
        <v>1.5</v>
      </c>
      <c r="D22" s="4">
        <v>96</v>
      </c>
      <c r="E22" s="4"/>
      <c r="F22" s="5"/>
      <c r="G22" s="4"/>
    </row>
    <row r="23" spans="1:7" ht="16.5" x14ac:dyDescent="0.25">
      <c r="A23" s="2" t="s">
        <v>21</v>
      </c>
      <c r="B23" s="4">
        <v>15</v>
      </c>
      <c r="C23" s="4">
        <v>1.5</v>
      </c>
      <c r="D23" s="4">
        <v>96</v>
      </c>
      <c r="E23" s="4"/>
      <c r="F23" s="5"/>
      <c r="G23" s="4"/>
    </row>
    <row r="24" spans="1:7" ht="16.5" x14ac:dyDescent="0.25">
      <c r="A24" s="2" t="s">
        <v>22</v>
      </c>
      <c r="B24" s="4">
        <v>15</v>
      </c>
      <c r="C24" s="4">
        <v>1.5</v>
      </c>
      <c r="D24" s="4">
        <v>96</v>
      </c>
      <c r="E24" s="4"/>
      <c r="F24" s="5"/>
      <c r="G24" s="4"/>
    </row>
    <row r="25" spans="1:7" ht="16.5" x14ac:dyDescent="0.25">
      <c r="A25" s="2" t="s">
        <v>23</v>
      </c>
      <c r="B25" s="4">
        <v>15</v>
      </c>
      <c r="C25" s="4">
        <v>1.5</v>
      </c>
      <c r="D25" s="4">
        <v>96</v>
      </c>
      <c r="E25" s="4"/>
      <c r="F25" s="5"/>
      <c r="G25" s="4"/>
    </row>
    <row r="26" spans="1:7" x14ac:dyDescent="0.25">
      <c r="A26" s="2" t="s">
        <v>24</v>
      </c>
      <c r="B26" s="4">
        <v>60</v>
      </c>
      <c r="C26" s="4">
        <v>6</v>
      </c>
      <c r="D26" s="4">
        <v>6</v>
      </c>
      <c r="E26" s="4"/>
      <c r="F26" s="4"/>
      <c r="G26" s="4"/>
    </row>
    <row r="27" spans="1:7" x14ac:dyDescent="0.25">
      <c r="A27" s="2" t="s">
        <v>25</v>
      </c>
      <c r="B27" s="4">
        <v>60</v>
      </c>
      <c r="C27" s="4">
        <v>6</v>
      </c>
      <c r="D27" s="4">
        <v>6</v>
      </c>
      <c r="E27" s="4"/>
      <c r="F27" s="4"/>
      <c r="G27" s="4"/>
    </row>
    <row r="28" spans="1:7" x14ac:dyDescent="0.25">
      <c r="A28" s="2" t="s">
        <v>26</v>
      </c>
      <c r="B28" s="4">
        <v>80</v>
      </c>
      <c r="C28" s="4">
        <v>8</v>
      </c>
      <c r="D28" s="4">
        <v>512</v>
      </c>
      <c r="E28" s="4"/>
      <c r="F28" s="4"/>
      <c r="G28" s="4"/>
    </row>
    <row r="29" spans="1:7" x14ac:dyDescent="0.25">
      <c r="A29" s="2" t="s">
        <v>27</v>
      </c>
      <c r="B29" s="4">
        <v>120</v>
      </c>
      <c r="C29" s="4">
        <v>12</v>
      </c>
      <c r="D29" s="4">
        <v>768</v>
      </c>
      <c r="E29" s="4"/>
      <c r="F29" s="4"/>
      <c r="G29" s="4"/>
    </row>
    <row r="30" spans="1:7" x14ac:dyDescent="0.25">
      <c r="A30" s="7" t="s">
        <v>28</v>
      </c>
      <c r="B30" s="8">
        <v>200</v>
      </c>
      <c r="C30" s="8">
        <v>20</v>
      </c>
      <c r="D30" s="8">
        <v>1280</v>
      </c>
      <c r="E30" s="4"/>
      <c r="F30" s="4"/>
      <c r="G30" s="4"/>
    </row>
    <row r="31" spans="1:7" x14ac:dyDescent="0.25">
      <c r="A31" s="2"/>
      <c r="B31" s="4"/>
      <c r="C31" s="4"/>
      <c r="D31" s="4"/>
      <c r="E31" s="4"/>
      <c r="F31" s="4"/>
      <c r="G31" s="4"/>
    </row>
    <row r="32" spans="1:7" x14ac:dyDescent="0.25">
      <c r="A32" s="2"/>
      <c r="B32" s="4"/>
      <c r="C32" s="4"/>
      <c r="D32" s="4"/>
      <c r="E32" s="4"/>
      <c r="F32" s="4"/>
      <c r="G32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5FB96-90B4-4971-83A7-65C616A2678C}">
  <dimension ref="A1"/>
  <sheetViews>
    <sheetView tabSelected="1" workbookViewId="0">
      <selection activeCell="P18" sqref="P1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Furnace Req's</vt:lpstr>
      <vt:lpstr>Kelp Farm Calc's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McGarvey</dc:creator>
  <cp:lastModifiedBy>Daniel McGarvey</cp:lastModifiedBy>
  <dcterms:created xsi:type="dcterms:W3CDTF">2026-06-18T08:47:51Z</dcterms:created>
  <dcterms:modified xsi:type="dcterms:W3CDTF">2026-06-18T11:06:44Z</dcterms:modified>
</cp:coreProperties>
</file>