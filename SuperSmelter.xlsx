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gar\OneDrive\Documents\Super-Smelter\"/>
    </mc:Choice>
  </mc:AlternateContent>
  <xr:revisionPtr revIDLastSave="0" documentId="13_ncr:1_{8BEC7E29-320C-479E-9F8E-67F3B3891EF4}" xr6:coauthVersionLast="47" xr6:coauthVersionMax="47" xr10:uidLastSave="{00000000-0000-0000-0000-000000000000}"/>
  <bookViews>
    <workbookView xWindow="-120" yWindow="-120" windowWidth="29040" windowHeight="15840" activeTab="1" xr2:uid="{10021CC6-D9C0-4CEE-BC71-017883C450BE}"/>
  </bookViews>
  <sheets>
    <sheet name="Furnace Req's" sheetId="1" r:id="rId1"/>
    <sheet name="Kelp Farm Calc'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B2" i="2"/>
  <c r="D30" i="1"/>
  <c r="H16" i="1"/>
  <c r="G16" i="1"/>
  <c r="H14" i="1"/>
  <c r="G14" i="1"/>
  <c r="H12" i="1"/>
  <c r="G12" i="1"/>
  <c r="G10" i="1"/>
  <c r="H10" i="1"/>
  <c r="G6" i="1"/>
  <c r="G8" i="1" l="1"/>
</calcChain>
</file>

<file path=xl/sharedStrings.xml><?xml version="1.0" encoding="utf-8"?>
<sst xmlns="http://schemas.openxmlformats.org/spreadsheetml/2006/main" count="49" uniqueCount="49">
  <si>
    <t>Azalea</t>
  </si>
  <si>
    <t>Any Wool</t>
  </si>
  <si>
    <t>Bamboo Mosaic Slab</t>
  </si>
  <si>
    <t>Overworld Wooden Slab</t>
  </si>
  <si>
    <t>Overworld Wooden Door</t>
  </si>
  <si>
    <t>Overworld Sign</t>
  </si>
  <si>
    <t>Hanging Sign</t>
  </si>
  <si>
    <t>Bamboo Mosaic</t>
  </si>
  <si>
    <t>Bamboo Mosaic Stairs</t>
  </si>
  <si>
    <t>Chiseled Bookshelf</t>
  </si>
  <si>
    <t>Overworld Planks</t>
  </si>
  <si>
    <t>Overworld Wooden Stairs</t>
  </si>
  <si>
    <t>Overworld Wooden Pressure Plate</t>
  </si>
  <si>
    <t>Overworld Wooden Trapdoor</t>
  </si>
  <si>
    <t>Overworld Fence Gate</t>
  </si>
  <si>
    <t>Overworld Wooden Fence</t>
  </si>
  <si>
    <t>Mangrove Roots</t>
  </si>
  <si>
    <t>Ladder</t>
  </si>
  <si>
    <t>Crafting Table</t>
  </si>
  <si>
    <t>Bookshelf</t>
  </si>
  <si>
    <t>Lectern</t>
  </si>
  <si>
    <t>Composter</t>
  </si>
  <si>
    <t>Chest</t>
  </si>
  <si>
    <t>Barrel</t>
  </si>
  <si>
    <t>Any Boat</t>
  </si>
  <si>
    <t>Any Boat with Chest</t>
  </si>
  <si>
    <t>Charcoal</t>
  </si>
  <si>
    <t>Blaze Rod</t>
  </si>
  <si>
    <t>Dried Kelp Block</t>
  </si>
  <si>
    <t>Burning Time</t>
  </si>
  <si>
    <t>Ops Per Fuel</t>
  </si>
  <si>
    <t>Ops Per Stack</t>
  </si>
  <si>
    <t>Kelp Farm</t>
  </si>
  <si>
    <t xml:space="preserve">Kelp </t>
  </si>
  <si>
    <t>Kelp Per Block</t>
  </si>
  <si>
    <t>To selt 9 Kelp you need:</t>
  </si>
  <si>
    <t>Remaining</t>
  </si>
  <si>
    <t>New Kelp Block Needed every:</t>
  </si>
  <si>
    <t>Kelp Needed before furnace tax</t>
  </si>
  <si>
    <t>Kelp Needed after Furnace tax</t>
  </si>
  <si>
    <t>Number of tick delays</t>
  </si>
  <si>
    <t>Kelp Neeeded post Tick adj.</t>
  </si>
  <si>
    <t>Item</t>
  </si>
  <si>
    <t>Column1</t>
  </si>
  <si>
    <t>Column2</t>
  </si>
  <si>
    <t>Req. Kelp p/s</t>
  </si>
  <si>
    <t>Assuming:</t>
  </si>
  <si>
    <t>Kelp is best</t>
  </si>
  <si>
    <t>excess kelp is no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</si>
</sst>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vertAlign val="superscript"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Border="1"/>
    <xf numFmtId="0" fontId="2" fillId="0" borderId="0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1" fillId="2" borderId="0" xfId="1" applyBorder="1" applyAlignment="1">
      <alignment horizontal="left" vertical="center"/>
    </xf>
    <xf numFmtId="0" fontId="1" fillId="2" borderId="0" xfId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Alignment="1">
      <alignment vertical="center"/>
    </xf>
  </cellXfs>
  <cellStyles count="2">
    <cellStyle name="Good" xfId="1" builtinId="26"/>
    <cellStyle name="Normal" xfId="0" builtinId="0"/>
  </cellStyles>
  <dxfs count="9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CD9E68-106A-4D12-BE1C-6D79D7FD6613}" name="Table1" displayName="Table1" ref="A1:D30" totalsRowShown="0" headerRowDxfId="8" tableBorderDxfId="7">
  <autoFilter ref="A1:D30" xr:uid="{32CD9E68-106A-4D12-BE1C-6D79D7FD6613}"/>
  <tableColumns count="4">
    <tableColumn id="1" xr3:uid="{920B1BF8-41BC-4829-9871-694DE1DC9F55}" name="Item" dataDxfId="6"/>
    <tableColumn id="2" xr3:uid="{FC2AAD3D-0FAA-4861-89F3-E61050CD866D}" name="Burning Time" dataDxfId="5"/>
    <tableColumn id="3" xr3:uid="{E8DC18C7-ED21-4B2A-A43B-800B1EFA6018}" name="Ops Per Fuel" dataDxfId="4"/>
    <tableColumn id="4" xr3:uid="{5DE073A4-F00D-45D7-920A-C107F3120AC1}" name="Ops Per Stack" dataDxfId="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3167A2-8494-439F-8345-E77EB7C0E1A9}" name="Table2" displayName="Table2" ref="F2:H16" totalsRowShown="0" tableBorderDxfId="2">
  <autoFilter ref="F2:H16" xr:uid="{A93167A2-8494-439F-8345-E77EB7C0E1A9}"/>
  <tableColumns count="3">
    <tableColumn id="1" xr3:uid="{D8999686-88A1-41F7-827A-4EDAAA409D00}" name="Kelp Farm" dataDxfId="1"/>
    <tableColumn id="2" xr3:uid="{A197754C-98AF-475A-884B-B0830BB91701}" name="Column1" dataDxfId="0"/>
    <tableColumn id="3" xr3:uid="{F625CCB3-BCFC-4979-BD6B-1DE72CE1FFF2}" name="Column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02C0E-4C6B-43EB-AEAB-43E46AF7ED1D}">
  <dimension ref="A1:H32"/>
  <sheetViews>
    <sheetView workbookViewId="0">
      <selection activeCell="F30" sqref="F30"/>
    </sheetView>
  </sheetViews>
  <sheetFormatPr defaultRowHeight="15" x14ac:dyDescent="0.25"/>
  <cols>
    <col min="1" max="1" width="42.7109375" bestFit="1" customWidth="1"/>
    <col min="2" max="2" width="14.85546875" customWidth="1"/>
    <col min="3" max="3" width="14.42578125" customWidth="1"/>
    <col min="4" max="4" width="15.42578125" customWidth="1"/>
    <col min="5" max="5" width="10.42578125" bestFit="1" customWidth="1"/>
    <col min="6" max="6" width="27.5703125" bestFit="1" customWidth="1"/>
    <col min="7" max="7" width="11.5703125" bestFit="1" customWidth="1"/>
    <col min="8" max="8" width="11" customWidth="1"/>
  </cols>
  <sheetData>
    <row r="1" spans="1:8" x14ac:dyDescent="0.25">
      <c r="A1" s="5" t="s">
        <v>42</v>
      </c>
      <c r="B1" s="5" t="s">
        <v>29</v>
      </c>
      <c r="C1" s="5" t="s">
        <v>30</v>
      </c>
      <c r="D1" s="5" t="s">
        <v>31</v>
      </c>
      <c r="E1" s="1"/>
      <c r="G1">
        <v>1</v>
      </c>
      <c r="H1">
        <v>16</v>
      </c>
    </row>
    <row r="2" spans="1:8" x14ac:dyDescent="0.25">
      <c r="A2" s="6" t="s">
        <v>0</v>
      </c>
      <c r="B2" s="7">
        <v>5</v>
      </c>
      <c r="C2" s="7">
        <v>0.5</v>
      </c>
      <c r="D2" s="7">
        <v>32</v>
      </c>
      <c r="E2" s="3"/>
      <c r="F2" s="5" t="s">
        <v>32</v>
      </c>
      <c r="G2" s="10" t="s">
        <v>43</v>
      </c>
      <c r="H2" s="10" t="s">
        <v>44</v>
      </c>
    </row>
    <row r="3" spans="1:8" x14ac:dyDescent="0.25">
      <c r="A3" s="6" t="s">
        <v>1</v>
      </c>
      <c r="B3" s="7">
        <v>5</v>
      </c>
      <c r="C3" s="7">
        <v>0.5</v>
      </c>
      <c r="D3" s="7">
        <v>32</v>
      </c>
      <c r="E3" s="3"/>
      <c r="F3" s="11" t="s">
        <v>33</v>
      </c>
      <c r="G3" s="7"/>
      <c r="H3" s="10"/>
    </row>
    <row r="4" spans="1:8" x14ac:dyDescent="0.25">
      <c r="A4" s="6" t="s">
        <v>2</v>
      </c>
      <c r="B4" s="7">
        <v>7.5</v>
      </c>
      <c r="C4" s="7">
        <v>0.75</v>
      </c>
      <c r="D4" s="7">
        <v>48</v>
      </c>
      <c r="E4" s="3"/>
      <c r="F4" s="7" t="s">
        <v>34</v>
      </c>
      <c r="G4" s="7">
        <v>9</v>
      </c>
      <c r="H4" s="10"/>
    </row>
    <row r="5" spans="1:8" x14ac:dyDescent="0.25">
      <c r="A5" s="6" t="s">
        <v>3</v>
      </c>
      <c r="B5" s="7">
        <v>7.5</v>
      </c>
      <c r="C5" s="7">
        <v>0.75</v>
      </c>
      <c r="D5" s="7">
        <v>48</v>
      </c>
      <c r="E5" s="3"/>
      <c r="F5" s="7" t="s">
        <v>40</v>
      </c>
      <c r="G5" s="7">
        <v>1</v>
      </c>
      <c r="H5" s="10"/>
    </row>
    <row r="6" spans="1:8" x14ac:dyDescent="0.25">
      <c r="A6" s="6" t="s">
        <v>4</v>
      </c>
      <c r="B6" s="7">
        <v>10</v>
      </c>
      <c r="C6" s="7">
        <v>1</v>
      </c>
      <c r="D6" s="7">
        <v>64</v>
      </c>
      <c r="E6" s="3"/>
      <c r="F6" s="7" t="s">
        <v>35</v>
      </c>
      <c r="G6" s="7">
        <f>G4/C30</f>
        <v>0.45</v>
      </c>
      <c r="H6" s="10"/>
    </row>
    <row r="7" spans="1:8" x14ac:dyDescent="0.25">
      <c r="A7" s="6" t="s">
        <v>5</v>
      </c>
      <c r="B7" s="7">
        <v>10</v>
      </c>
      <c r="C7" s="7">
        <v>1</v>
      </c>
      <c r="D7" s="7">
        <v>16</v>
      </c>
      <c r="E7" s="3"/>
      <c r="F7" s="7"/>
      <c r="G7" s="7"/>
      <c r="H7" s="10"/>
    </row>
    <row r="8" spans="1:8" x14ac:dyDescent="0.25">
      <c r="A8" s="6" t="s">
        <v>6</v>
      </c>
      <c r="B8" s="7">
        <v>10</v>
      </c>
      <c r="C8" s="7">
        <v>1</v>
      </c>
      <c r="D8" s="7">
        <v>16</v>
      </c>
      <c r="E8" s="3"/>
      <c r="F8" s="7" t="s">
        <v>36</v>
      </c>
      <c r="G8" s="7">
        <f>(1-G6)</f>
        <v>0.55000000000000004</v>
      </c>
      <c r="H8" s="10"/>
    </row>
    <row r="9" spans="1:8" x14ac:dyDescent="0.25">
      <c r="A9" s="6" t="s">
        <v>7</v>
      </c>
      <c r="B9" s="7">
        <v>15</v>
      </c>
      <c r="C9" s="7">
        <v>1.5</v>
      </c>
      <c r="D9" s="7">
        <v>96</v>
      </c>
      <c r="E9" s="3"/>
      <c r="F9" s="7"/>
      <c r="G9" s="7"/>
      <c r="H9" s="10"/>
    </row>
    <row r="10" spans="1:8" x14ac:dyDescent="0.25">
      <c r="A10" s="6" t="s">
        <v>8</v>
      </c>
      <c r="B10" s="7">
        <v>15</v>
      </c>
      <c r="C10" s="7">
        <v>1.5</v>
      </c>
      <c r="D10" s="7">
        <v>96</v>
      </c>
      <c r="E10" s="3"/>
      <c r="F10" s="7" t="s">
        <v>37</v>
      </c>
      <c r="G10" s="7">
        <f>B30/G1</f>
        <v>200</v>
      </c>
      <c r="H10" s="10">
        <f>B30/H1</f>
        <v>12.5</v>
      </c>
    </row>
    <row r="11" spans="1:8" ht="16.5" x14ac:dyDescent="0.25">
      <c r="A11" s="6" t="s">
        <v>9</v>
      </c>
      <c r="B11" s="7">
        <v>15</v>
      </c>
      <c r="C11" s="7">
        <v>1.5</v>
      </c>
      <c r="D11" s="7">
        <v>96</v>
      </c>
      <c r="E11" s="3"/>
      <c r="F11" s="12"/>
      <c r="G11" s="7"/>
      <c r="H11" s="10"/>
    </row>
    <row r="12" spans="1:8" x14ac:dyDescent="0.25">
      <c r="A12" s="6" t="s">
        <v>10</v>
      </c>
      <c r="B12" s="7">
        <v>15</v>
      </c>
      <c r="C12" s="7">
        <v>1.5</v>
      </c>
      <c r="D12" s="7">
        <v>96</v>
      </c>
      <c r="E12" s="3"/>
      <c r="F12" s="7" t="s">
        <v>38</v>
      </c>
      <c r="G12" s="7">
        <f>($G$4/G10)/$G$1</f>
        <v>4.4999999999999998E-2</v>
      </c>
      <c r="H12" s="7">
        <f>($G$4/H10)/$G$1</f>
        <v>0.72</v>
      </c>
    </row>
    <row r="13" spans="1:8" x14ac:dyDescent="0.25">
      <c r="A13" s="6" t="s">
        <v>11</v>
      </c>
      <c r="B13" s="7">
        <v>15</v>
      </c>
      <c r="C13" s="7">
        <v>1.5</v>
      </c>
      <c r="D13" s="7">
        <v>96</v>
      </c>
      <c r="E13" s="3"/>
      <c r="F13" s="7"/>
      <c r="G13" s="7"/>
      <c r="H13" s="10"/>
    </row>
    <row r="14" spans="1:8" x14ac:dyDescent="0.25">
      <c r="A14" s="6" t="s">
        <v>12</v>
      </c>
      <c r="B14" s="7">
        <v>15</v>
      </c>
      <c r="C14" s="7">
        <v>1.5</v>
      </c>
      <c r="D14" s="7">
        <v>96</v>
      </c>
      <c r="E14" s="3"/>
      <c r="F14" s="7" t="s">
        <v>39</v>
      </c>
      <c r="G14" s="7">
        <f>G12/$G$8</f>
        <v>8.1818181818181804E-2</v>
      </c>
      <c r="H14" s="7">
        <f>H12/$G$8</f>
        <v>1.3090909090909089</v>
      </c>
    </row>
    <row r="15" spans="1:8" x14ac:dyDescent="0.25">
      <c r="A15" s="6" t="s">
        <v>13</v>
      </c>
      <c r="B15" s="7">
        <v>15</v>
      </c>
      <c r="C15" s="7">
        <v>1.5</v>
      </c>
      <c r="D15" s="7">
        <v>96</v>
      </c>
      <c r="E15" s="3"/>
      <c r="F15" s="7"/>
      <c r="G15" s="7"/>
      <c r="H15" s="10"/>
    </row>
    <row r="16" spans="1:8" x14ac:dyDescent="0.25">
      <c r="A16" s="6" t="s">
        <v>14</v>
      </c>
      <c r="B16" s="7">
        <v>15</v>
      </c>
      <c r="C16" s="7">
        <v>1.5</v>
      </c>
      <c r="D16" s="7">
        <v>96</v>
      </c>
      <c r="E16" s="3"/>
      <c r="F16" s="7" t="s">
        <v>41</v>
      </c>
      <c r="G16" s="10">
        <f>G14+(G14*(($G$5)/20))</f>
        <v>8.5909090909090893E-2</v>
      </c>
      <c r="H16" s="10">
        <f>H14+(H14*(($G$5)/20))</f>
        <v>1.3745454545454543</v>
      </c>
    </row>
    <row r="17" spans="1:7" x14ac:dyDescent="0.25">
      <c r="A17" s="6" t="s">
        <v>15</v>
      </c>
      <c r="B17" s="7">
        <v>15</v>
      </c>
      <c r="C17" s="7">
        <v>1.5</v>
      </c>
      <c r="D17" s="7">
        <v>96</v>
      </c>
      <c r="E17" s="3"/>
      <c r="F17" s="3"/>
      <c r="G17" s="3"/>
    </row>
    <row r="18" spans="1:7" x14ac:dyDescent="0.25">
      <c r="A18" s="6" t="s">
        <v>16</v>
      </c>
      <c r="B18" s="7">
        <v>15</v>
      </c>
      <c r="C18" s="7">
        <v>1.5</v>
      </c>
      <c r="D18" s="7">
        <v>96</v>
      </c>
      <c r="E18" s="3"/>
      <c r="G18" s="3"/>
    </row>
    <row r="19" spans="1:7" x14ac:dyDescent="0.25">
      <c r="A19" s="6" t="s">
        <v>17</v>
      </c>
      <c r="B19" s="7">
        <v>15</v>
      </c>
      <c r="C19" s="7">
        <v>1.5</v>
      </c>
      <c r="D19" s="7">
        <v>96</v>
      </c>
      <c r="E19" s="3"/>
      <c r="G19" s="3"/>
    </row>
    <row r="20" spans="1:7" ht="16.5" x14ac:dyDescent="0.25">
      <c r="A20" s="6" t="s">
        <v>18</v>
      </c>
      <c r="B20" s="7">
        <v>15</v>
      </c>
      <c r="C20" s="7">
        <v>1.5</v>
      </c>
      <c r="D20" s="7">
        <v>96</v>
      </c>
      <c r="E20" s="3"/>
      <c r="F20" s="4"/>
      <c r="G20" s="3"/>
    </row>
    <row r="21" spans="1:7" ht="16.5" x14ac:dyDescent="0.25">
      <c r="A21" s="6" t="s">
        <v>19</v>
      </c>
      <c r="B21" s="7">
        <v>15</v>
      </c>
      <c r="C21" s="7">
        <v>1.5</v>
      </c>
      <c r="D21" s="7">
        <v>96</v>
      </c>
      <c r="E21" s="3"/>
      <c r="F21" s="4"/>
      <c r="G21" s="3"/>
    </row>
    <row r="22" spans="1:7" ht="16.5" x14ac:dyDescent="0.25">
      <c r="A22" s="6" t="s">
        <v>20</v>
      </c>
      <c r="B22" s="7">
        <v>15</v>
      </c>
      <c r="C22" s="7">
        <v>1.5</v>
      </c>
      <c r="D22" s="7">
        <v>96</v>
      </c>
      <c r="E22" s="3"/>
      <c r="F22" s="4"/>
      <c r="G22" s="3"/>
    </row>
    <row r="23" spans="1:7" ht="16.5" x14ac:dyDescent="0.25">
      <c r="A23" s="6" t="s">
        <v>21</v>
      </c>
      <c r="B23" s="7">
        <v>15</v>
      </c>
      <c r="C23" s="7">
        <v>1.5</v>
      </c>
      <c r="D23" s="7">
        <v>96</v>
      </c>
      <c r="E23" s="3"/>
      <c r="F23" s="4"/>
      <c r="G23" s="3"/>
    </row>
    <row r="24" spans="1:7" ht="16.5" x14ac:dyDescent="0.25">
      <c r="A24" s="6" t="s">
        <v>22</v>
      </c>
      <c r="B24" s="7">
        <v>15</v>
      </c>
      <c r="C24" s="7">
        <v>1.5</v>
      </c>
      <c r="D24" s="7">
        <v>96</v>
      </c>
      <c r="E24" s="3"/>
      <c r="F24" s="4"/>
      <c r="G24" s="3"/>
    </row>
    <row r="25" spans="1:7" ht="16.5" x14ac:dyDescent="0.25">
      <c r="A25" s="6" t="s">
        <v>23</v>
      </c>
      <c r="B25" s="7">
        <v>15</v>
      </c>
      <c r="C25" s="7">
        <v>1.5</v>
      </c>
      <c r="D25" s="7">
        <v>96</v>
      </c>
      <c r="E25" s="3"/>
      <c r="F25" s="13"/>
      <c r="G25" s="3"/>
    </row>
    <row r="26" spans="1:7" x14ac:dyDescent="0.25">
      <c r="A26" s="6" t="s">
        <v>24</v>
      </c>
      <c r="B26" s="7">
        <v>60</v>
      </c>
      <c r="C26" s="7">
        <v>6</v>
      </c>
      <c r="D26" s="7">
        <v>6</v>
      </c>
      <c r="E26" s="3"/>
      <c r="F26" s="3"/>
      <c r="G26" s="3"/>
    </row>
    <row r="27" spans="1:7" x14ac:dyDescent="0.25">
      <c r="A27" s="6" t="s">
        <v>25</v>
      </c>
      <c r="B27" s="7">
        <v>60</v>
      </c>
      <c r="C27" s="7">
        <v>6</v>
      </c>
      <c r="D27" s="7">
        <v>6</v>
      </c>
      <c r="E27" s="3"/>
      <c r="F27" s="3" t="s">
        <v>46</v>
      </c>
      <c r="G27" s="3"/>
    </row>
    <row r="28" spans="1:7" x14ac:dyDescent="0.25">
      <c r="A28" s="6" t="s">
        <v>26</v>
      </c>
      <c r="B28" s="7">
        <v>80</v>
      </c>
      <c r="C28" s="7">
        <v>8</v>
      </c>
      <c r="D28" s="7">
        <v>512</v>
      </c>
      <c r="E28" s="3"/>
      <c r="F28" s="3" t="s">
        <v>47</v>
      </c>
      <c r="G28" s="3"/>
    </row>
    <row r="29" spans="1:7" x14ac:dyDescent="0.25">
      <c r="A29" s="6" t="s">
        <v>27</v>
      </c>
      <c r="B29" s="7">
        <v>120</v>
      </c>
      <c r="C29" s="7">
        <v>12</v>
      </c>
      <c r="D29" s="7">
        <v>768</v>
      </c>
      <c r="E29" s="3"/>
      <c r="F29" s="3" t="s">
        <v>48</v>
      </c>
      <c r="G29" s="3"/>
    </row>
    <row r="30" spans="1:7" x14ac:dyDescent="0.25">
      <c r="A30" s="8" t="s">
        <v>28</v>
      </c>
      <c r="B30" s="9">
        <v>200</v>
      </c>
      <c r="C30" s="9">
        <v>20</v>
      </c>
      <c r="D30" s="9">
        <f>Table1[[#This Row],[Ops Per Fuel]]*64</f>
        <v>1280</v>
      </c>
      <c r="E30" s="3"/>
      <c r="F30" s="3"/>
      <c r="G30" s="3"/>
    </row>
    <row r="31" spans="1:7" x14ac:dyDescent="0.25">
      <c r="A31" s="2"/>
      <c r="B31" s="3"/>
      <c r="C31" s="3"/>
      <c r="D31" s="3"/>
      <c r="E31" s="3"/>
      <c r="F31" s="3"/>
      <c r="G31" s="3"/>
    </row>
    <row r="32" spans="1:7" x14ac:dyDescent="0.25">
      <c r="A32" s="2"/>
      <c r="B32" s="3"/>
      <c r="C32" s="3"/>
      <c r="D32" s="3"/>
      <c r="E32" s="3"/>
      <c r="F32" s="3"/>
      <c r="G32" s="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FB96-90B4-4971-83A7-65C616A2678C}">
  <dimension ref="A1:C4"/>
  <sheetViews>
    <sheetView tabSelected="1" workbookViewId="0">
      <selection activeCell="C2" sqref="C2"/>
    </sheetView>
  </sheetViews>
  <sheetFormatPr defaultRowHeight="15" x14ac:dyDescent="0.25"/>
  <cols>
    <col min="1" max="1" width="27.42578125" bestFit="1" customWidth="1"/>
  </cols>
  <sheetData>
    <row r="1" spans="1:3" x14ac:dyDescent="0.25">
      <c r="B1">
        <v>1</v>
      </c>
      <c r="C1">
        <v>16</v>
      </c>
    </row>
    <row r="2" spans="1:3" x14ac:dyDescent="0.25">
      <c r="A2" s="1" t="s">
        <v>45</v>
      </c>
      <c r="B2">
        <f>'Furnace Req''s'!G16</f>
        <v>8.5909090909090893E-2</v>
      </c>
      <c r="C2">
        <f>B2*C1</f>
        <v>1.3745454545454543</v>
      </c>
    </row>
    <row r="4" spans="1:3" x14ac:dyDescent="0.25">
      <c r="A4" s="1"/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Furnace Req's</vt:lpstr>
      <vt:lpstr>Kelp Farm Calc's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McGarvey</dc:creator>
  <cp:lastModifiedBy>Daniel McGarvey</cp:lastModifiedBy>
  <dcterms:created xsi:type="dcterms:W3CDTF">2026-06-18T08:47:51Z</dcterms:created>
  <dcterms:modified xsi:type="dcterms:W3CDTF">2026-06-18T13:14:04Z</dcterms:modified>
</cp:coreProperties>
</file>